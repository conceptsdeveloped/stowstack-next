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Sizing" sheetId="1" state="visible" r:id="rId3"/>
    <sheet name="Sensitivity Analysis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<sst xmlns="http://schemas.openxmlformats.org/spreadsheetml/2006/main" count="70" uniqueCount="67">
  <si>
    <t xml:space="preserve">TAM / SAM / SOM Model</t>
  </si>
  <si>
    <t xml:space="preserve">Market Sizing Assumptions</t>
  </si>
  <si>
    <t xml:space="preserve">Metric</t>
  </si>
  <si>
    <t xml:space="preserve">Value</t>
  </si>
  <si>
    <t xml:space="preserve">Source/Notes</t>
  </si>
  <si>
    <t xml:space="preserve">Total US Self-Storage Facilities</t>
  </si>
  <si>
    <t xml:space="preserve">SpareFoot, StorageCafe</t>
  </si>
  <si>
    <t xml:space="preserve">REIT-owned (not addressable)</t>
  </si>
  <si>
    <t xml:space="preserve">20% of total, use G5/RealPage</t>
  </si>
  <si>
    <t xml:space="preserve">Remaining Independent/Small Portfolio</t>
  </si>
  <si>
    <t xml:space="preserve">Calculated</t>
  </si>
  <si>
    <t xml:space="preserve">With Digital Marketing Budget</t>
  </si>
  <si>
    <t xml:space="preserve">Conservative — many small facilities have some budget</t>
  </si>
  <si>
    <t xml:space="preserve">Addressable Facilities (TAM basis)</t>
  </si>
  <si>
    <t xml:space="preserve">Using storEDGE or SiteLink</t>
  </si>
  <si>
    <t xml:space="preserve">Integration requirement</t>
  </si>
  <si>
    <t xml:space="preserve">Integration-Ready (SAM basis)</t>
  </si>
  <si>
    <t xml:space="preserve">In Sweet Spot (2-15 facilities, secondary markets)</t>
  </si>
  <si>
    <t xml:space="preserve">ICP filter</t>
  </si>
  <si>
    <t xml:space="preserve">Qualified Prospects</t>
  </si>
  <si>
    <t xml:space="preserve">Revenue Model</t>
  </si>
  <si>
    <t xml:space="preserve">Scenario</t>
  </si>
  <si>
    <t xml:space="preserve">Clients Year 1</t>
  </si>
  <si>
    <t xml:space="preserve">Clients Year 2</t>
  </si>
  <si>
    <t xml:space="preserve">Clients Year 3</t>
  </si>
  <si>
    <t xml:space="preserve">Avg Rev/Client/Mo</t>
  </si>
  <si>
    <t xml:space="preserve">Annual Revenue Y1</t>
  </si>
  <si>
    <t xml:space="preserve">Annual Revenue Y2</t>
  </si>
  <si>
    <t xml:space="preserve">Annual Revenue Y3</t>
  </si>
  <si>
    <t xml:space="preserve">Conservative</t>
  </si>
  <si>
    <t xml:space="preserve">Base</t>
  </si>
  <si>
    <t xml:space="preserve">Aggressive</t>
  </si>
  <si>
    <t xml:space="preserve">What-If Sensitivity Analysis</t>
  </si>
  <si>
    <t xml:space="preserve">Annual Revenue Sensitivity (Qualified Prospects × Close Rate × Monthly Revenue × 12)</t>
  </si>
  <si>
    <t xml:space="preserve">Qualified Prospects (from Market Sizing):</t>
  </si>
  <si>
    <t xml:space="preserve">Close Rate \ Monthly Revenue</t>
  </si>
  <si>
    <t xml:space="preserve">$750</t>
  </si>
  <si>
    <t xml:space="preserve">$1,000</t>
  </si>
  <si>
    <t xml:space="preserve">$1,250</t>
  </si>
  <si>
    <t xml:space="preserve">$1,500</t>
  </si>
  <si>
    <t xml:space="preserve">$2,000</t>
  </si>
  <si>
    <t xml:space="preserve">2%</t>
  </si>
  <si>
    <t xml:space="preserve">3%</t>
  </si>
  <si>
    <t xml:space="preserve">5%</t>
  </si>
  <si>
    <t xml:space="preserve">7%</t>
  </si>
  <si>
    <t xml:space="preserve">10%</t>
  </si>
  <si>
    <t xml:space="preserve">Market Sizing Assumptions &amp; Sources</t>
  </si>
  <si>
    <t xml:space="preserve">Assumption</t>
  </si>
  <si>
    <t xml:space="preserve">Source/Rationale</t>
  </si>
  <si>
    <t xml:space="preserve">Total US Self-Storage Facilities = 60,000</t>
  </si>
  <si>
    <t xml:space="preserve">Consensus from SpareFoot and StorageCafe; includes all segments</t>
  </si>
  <si>
    <t xml:space="preserve">REIT-owned = 20% (12,000 facilities)</t>
  </si>
  <si>
    <t xml:space="preserve">Approximate market share; REITs typically own 15-25% of facilities</t>
  </si>
  <si>
    <t xml:space="preserve">60% of independents have digital marketing budget</t>
  </si>
  <si>
    <t xml:space="preserve">Conservative estimate; many small operators still use organic/word-of-mouth</t>
  </si>
  <si>
    <t xml:space="preserve">65% integration-ready (use storEDGE or SiteLink)</t>
  </si>
  <si>
    <t xml:space="preserve">Integration requirement; storEDGE + SiteLink cover ~65% of independent PMS market</t>
  </si>
  <si>
    <t xml:space="preserve">40% in sweet spot (2-15 facilities, secondary markets)</t>
  </si>
  <si>
    <t xml:space="preserve">ICP definition; excludes single-location and mega-chain operators</t>
  </si>
  <si>
    <t xml:space="preserve">Avg Revenue/Client/Month: $1,000-$1,500</t>
  </si>
  <si>
    <t xml:space="preserve">Based on tiered pricing model; Conservative=$1,000, Base=$1,250, Aggressive=$1,500</t>
  </si>
  <si>
    <t xml:space="preserve">Close rates: 2%-10% of qualified prospects</t>
  </si>
  <si>
    <t xml:space="preserve">Conservative=2%, Base=5%, Aggressive=10%; similar to B2B SaaS benchmarks for this ACV</t>
  </si>
  <si>
    <t xml:space="preserve">Year 1-3 client acquisition: 25-60 → 75-200 → 175-500</t>
  </si>
  <si>
    <t xml:space="preserve">Reflects growth trajectory; assumes 50-100% YoY growth in early years</t>
  </si>
  <si>
    <t xml:space="preserve">Monthly revenue includes core + add-ons</t>
  </si>
  <si>
    <t xml:space="preserve">Base tier includes ad management; higher tiers include compliance, rep management, etc.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</si>
</sst>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5" t="n">
        <v>60000</v>
      </c>
      <c r="C5" s="4" t="s">
        <v>6</v>
      </c>
    </row>
    <row r="6" customFormat="false" ht="23.85" hidden="false" customHeight="false" outlineLevel="0" collapsed="false">
      <c r="A6" s="4" t="s">
        <v>7</v>
      </c>
      <c r="B6" s="5" t="n">
        <v>12000</v>
      </c>
      <c r="C6" s="4" t="s">
        <v>8</v>
      </c>
    </row>
    <row r="7" customFormat="false" ht="35.05" hidden="false" customHeight="false" outlineLevel="0" collapsed="false">
      <c r="A7" s="4" t="s">
        <v>9</v>
      </c>
      <c r="B7" s="6" t="n">
        <f aca="false">B5-B6</f>
        <v>48000</v>
      </c>
      <c r="C7" s="4" t="s">
        <v>10</v>
      </c>
    </row>
    <row r="8" customFormat="false" ht="35.05" hidden="false" customHeight="false" outlineLevel="0" collapsed="false">
      <c r="A8" s="4" t="s">
        <v>11</v>
      </c>
      <c r="B8" s="7" t="n">
        <v>0.6</v>
      </c>
      <c r="C8" s="4" t="s">
        <v>12</v>
      </c>
    </row>
    <row r="9" customFormat="false" ht="35.05" hidden="false" customHeight="false" outlineLevel="0" collapsed="false">
      <c r="A9" s="4" t="s">
        <v>13</v>
      </c>
      <c r="B9" s="6" t="n">
        <f aca="false">B7*B8</f>
        <v>28800</v>
      </c>
      <c r="C9" s="4" t="s">
        <v>10</v>
      </c>
    </row>
    <row r="10" customFormat="false" ht="23.85" hidden="false" customHeight="false" outlineLevel="0" collapsed="false">
      <c r="A10" s="4" t="s">
        <v>14</v>
      </c>
      <c r="B10" s="7" t="n">
        <v>0.65</v>
      </c>
      <c r="C10" s="4" t="s">
        <v>15</v>
      </c>
    </row>
    <row r="11" customFormat="false" ht="23.85" hidden="false" customHeight="false" outlineLevel="0" collapsed="false">
      <c r="A11" s="4" t="s">
        <v>16</v>
      </c>
      <c r="B11" s="6" t="n">
        <f aca="false">B9*B10</f>
        <v>18720</v>
      </c>
      <c r="C11" s="4" t="s">
        <v>10</v>
      </c>
    </row>
    <row r="12" customFormat="false" ht="35.05" hidden="false" customHeight="false" outlineLevel="0" collapsed="false">
      <c r="A12" s="4" t="s">
        <v>17</v>
      </c>
      <c r="B12" s="7" t="n">
        <v>0.4</v>
      </c>
      <c r="C12" s="4" t="s">
        <v>18</v>
      </c>
    </row>
    <row r="13" customFormat="false" ht="15" hidden="false" customHeight="false" outlineLevel="0" collapsed="false">
      <c r="A13" s="4" t="s">
        <v>19</v>
      </c>
      <c r="B13" s="6" t="n">
        <f aca="false">B11*B12</f>
        <v>7488</v>
      </c>
      <c r="C13" s="4" t="s">
        <v>10</v>
      </c>
    </row>
    <row r="15" customFormat="false" ht="15" hidden="false" customHeight="false" outlineLevel="0" collapsed="false">
      <c r="A15" s="2" t="s">
        <v>20</v>
      </c>
    </row>
    <row r="16" customFormat="false" ht="26.85" hidden="false" customHeight="false" outlineLevel="0" collapsed="false">
      <c r="A16" s="8" t="s">
        <v>21</v>
      </c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</row>
    <row r="17" customFormat="false" ht="15" hidden="false" customHeight="false" outlineLevel="0" collapsed="false">
      <c r="A17" s="9" t="s">
        <v>29</v>
      </c>
      <c r="B17" s="10" t="n">
        <v>25</v>
      </c>
      <c r="C17" s="10" t="n">
        <v>75</v>
      </c>
      <c r="D17" s="10" t="n">
        <v>175</v>
      </c>
      <c r="E17" s="10" t="n">
        <v>1000</v>
      </c>
      <c r="F17" s="11" t="n">
        <f aca="false">B17*E17*12</f>
        <v>300000</v>
      </c>
      <c r="G17" s="11" t="n">
        <f aca="false">B18*E17*12</f>
        <v>480000</v>
      </c>
      <c r="H17" s="11" t="n">
        <f aca="false">B19*E17*12</f>
        <v>720000</v>
      </c>
    </row>
    <row r="18" customFormat="false" ht="15" hidden="false" customHeight="false" outlineLevel="0" collapsed="false">
      <c r="A18" s="9" t="s">
        <v>30</v>
      </c>
      <c r="B18" s="10" t="n">
        <v>40</v>
      </c>
      <c r="C18" s="10" t="n">
        <v>125</v>
      </c>
      <c r="D18" s="10" t="n">
        <v>300</v>
      </c>
      <c r="E18" s="10" t="n">
        <v>1250</v>
      </c>
      <c r="F18" s="11" t="n">
        <f aca="false">B18*E18*12</f>
        <v>600000</v>
      </c>
      <c r="G18" s="11" t="n">
        <f aca="false">B19*E18*12</f>
        <v>900000</v>
      </c>
      <c r="H18" s="11" t="n">
        <f aca="false">B20*E18*12</f>
        <v>0</v>
      </c>
    </row>
    <row r="19" customFormat="false" ht="15" hidden="false" customHeight="false" outlineLevel="0" collapsed="false">
      <c r="A19" s="9" t="s">
        <v>31</v>
      </c>
      <c r="B19" s="10" t="n">
        <v>60</v>
      </c>
      <c r="C19" s="10" t="n">
        <v>200</v>
      </c>
      <c r="D19" s="10" t="n">
        <v>500</v>
      </c>
      <c r="E19" s="10" t="n">
        <v>1500</v>
      </c>
      <c r="F19" s="11" t="n">
        <f aca="false">B20*E19*12</f>
        <v>0</v>
      </c>
      <c r="G19" s="11" t="n">
        <f aca="false">B21*E19*12</f>
        <v>0</v>
      </c>
      <c r="H19" s="11" t="n">
        <f aca="false">B22*E19*12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12" t="s">
        <v>33</v>
      </c>
    </row>
    <row r="5" customFormat="false" ht="15" hidden="false" customHeight="false" outlineLevel="0" collapsed="false">
      <c r="A5" s="0" t="s">
        <v>34</v>
      </c>
      <c r="B5" s="13" t="n">
        <f aca="false">'Market Sizing'!B13</f>
        <v>7488</v>
      </c>
    </row>
    <row r="7" customFormat="false" ht="15" hidden="false" customHeight="false" outlineLevel="0" collapsed="false">
      <c r="A7" s="14" t="s">
        <v>35</v>
      </c>
      <c r="B7" s="15" t="s">
        <v>36</v>
      </c>
      <c r="C7" s="15" t="s">
        <v>37</v>
      </c>
      <c r="D7" s="15" t="s">
        <v>38</v>
      </c>
      <c r="E7" s="15" t="s">
        <v>39</v>
      </c>
      <c r="F7" s="15" t="s">
        <v>40</v>
      </c>
    </row>
    <row r="8" customFormat="false" ht="15" hidden="false" customHeight="false" outlineLevel="0" collapsed="false">
      <c r="A8" s="16" t="s">
        <v>41</v>
      </c>
      <c r="B8" s="11" t="n">
        <f aca="false">$B$5*0.02*750*12</f>
        <v>1347840</v>
      </c>
      <c r="C8" s="11" t="n">
        <f aca="false">$B$5*0.02*1000*12</f>
        <v>1797120</v>
      </c>
      <c r="D8" s="11" t="n">
        <f aca="false">$B$5*0.02*1250*12</f>
        <v>2246400</v>
      </c>
      <c r="E8" s="11" t="n">
        <f aca="false">$B$5*0.02*1500*12</f>
        <v>2695680</v>
      </c>
      <c r="F8" s="11" t="n">
        <f aca="false">$B$5*0.02*2000*12</f>
        <v>3594240</v>
      </c>
    </row>
    <row r="9" customFormat="false" ht="15" hidden="false" customHeight="false" outlineLevel="0" collapsed="false">
      <c r="A9" s="16" t="s">
        <v>42</v>
      </c>
      <c r="B9" s="11" t="n">
        <f aca="false">$B$5*0.03*750*12</f>
        <v>2021760</v>
      </c>
      <c r="C9" s="11" t="n">
        <f aca="false">$B$5*0.03*1000*12</f>
        <v>2695680</v>
      </c>
      <c r="D9" s="11" t="n">
        <f aca="false">$B$5*0.03*1250*12</f>
        <v>3369600</v>
      </c>
      <c r="E9" s="11" t="n">
        <f aca="false">$B$5*0.03*1500*12</f>
        <v>4043520</v>
      </c>
      <c r="F9" s="11" t="n">
        <f aca="false">$B$5*0.03*2000*12</f>
        <v>5391360</v>
      </c>
    </row>
    <row r="10" customFormat="false" ht="15" hidden="false" customHeight="false" outlineLevel="0" collapsed="false">
      <c r="A10" s="16" t="s">
        <v>43</v>
      </c>
      <c r="B10" s="11" t="n">
        <f aca="false">$B$5*0.05*750*12</f>
        <v>3369600</v>
      </c>
      <c r="C10" s="11" t="n">
        <f aca="false">$B$5*0.05*1000*12</f>
        <v>4492800</v>
      </c>
      <c r="D10" s="11" t="n">
        <f aca="false">$B$5*0.05*1250*12</f>
        <v>5616000</v>
      </c>
      <c r="E10" s="11" t="n">
        <f aca="false">$B$5*0.05*1500*12</f>
        <v>6739200</v>
      </c>
      <c r="F10" s="11" t="n">
        <f aca="false">$B$5*0.05*2000*12</f>
        <v>8985600</v>
      </c>
    </row>
    <row r="11" customFormat="false" ht="15" hidden="false" customHeight="false" outlineLevel="0" collapsed="false">
      <c r="A11" s="16" t="s">
        <v>44</v>
      </c>
      <c r="B11" s="11" t="n">
        <f aca="false">$B$5*0.07*750*12</f>
        <v>4717440</v>
      </c>
      <c r="C11" s="11" t="n">
        <f aca="false">$B$5*0.07*1000*12</f>
        <v>6289920</v>
      </c>
      <c r="D11" s="11" t="n">
        <f aca="false">$B$5*0.07*1250*12</f>
        <v>7862400</v>
      </c>
      <c r="E11" s="11" t="n">
        <f aca="false">$B$5*0.07*1500*12</f>
        <v>9434880</v>
      </c>
      <c r="F11" s="11" t="n">
        <f aca="false">$B$5*0.07*2000*12</f>
        <v>12579840</v>
      </c>
    </row>
    <row r="12" customFormat="false" ht="15" hidden="false" customHeight="false" outlineLevel="0" collapsed="false">
      <c r="A12" s="16" t="s">
        <v>45</v>
      </c>
      <c r="B12" s="11" t="n">
        <f aca="false">$B$5*0.1*750*12</f>
        <v>6739200</v>
      </c>
      <c r="C12" s="11" t="n">
        <f aca="false">$B$5*0.1*1000*12</f>
        <v>8985600</v>
      </c>
      <c r="D12" s="11" t="n">
        <f aca="false">$B$5*0.1*1250*12</f>
        <v>11232000</v>
      </c>
      <c r="E12" s="11" t="n">
        <f aca="false">$B$5*0.1*1500*12</f>
        <v>13478400</v>
      </c>
      <c r="F12" s="11" t="n">
        <f aca="false">$B$5*0.1*2000*12</f>
        <v>17971200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5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3" t="s">
        <v>47</v>
      </c>
      <c r="B2" s="3" t="s">
        <v>48</v>
      </c>
    </row>
    <row r="3" customFormat="false" ht="15" hidden="false" customHeight="false" outlineLevel="0" collapsed="false">
      <c r="A3" s="17" t="s">
        <v>49</v>
      </c>
      <c r="B3" s="17" t="s">
        <v>50</v>
      </c>
    </row>
    <row r="4" customFormat="false" ht="15" hidden="false" customHeight="false" outlineLevel="0" collapsed="false">
      <c r="A4" s="17" t="s">
        <v>51</v>
      </c>
      <c r="B4" s="17" t="s">
        <v>52</v>
      </c>
    </row>
    <row r="5" customFormat="false" ht="23.85" hidden="false" customHeight="false" outlineLevel="0" collapsed="false">
      <c r="A5" s="17" t="s">
        <v>53</v>
      </c>
      <c r="B5" s="17" t="s">
        <v>54</v>
      </c>
    </row>
    <row r="6" customFormat="false" ht="23.85" hidden="false" customHeight="false" outlineLevel="0" collapsed="false">
      <c r="A6" s="17" t="s">
        <v>55</v>
      </c>
      <c r="B6" s="17" t="s">
        <v>56</v>
      </c>
    </row>
    <row r="7" customFormat="false" ht="23.85" hidden="false" customHeight="false" outlineLevel="0" collapsed="false">
      <c r="A7" s="17" t="s">
        <v>57</v>
      </c>
      <c r="B7" s="17" t="s">
        <v>58</v>
      </c>
    </row>
    <row r="8" customFormat="false" ht="23.85" hidden="false" customHeight="false" outlineLevel="0" collapsed="false">
      <c r="A8" s="17" t="s">
        <v>59</v>
      </c>
      <c r="B8" s="17" t="s">
        <v>60</v>
      </c>
    </row>
    <row r="9" customFormat="false" ht="23.85" hidden="false" customHeight="false" outlineLevel="0" collapsed="false">
      <c r="A9" s="17" t="s">
        <v>61</v>
      </c>
      <c r="B9" s="17" t="s">
        <v>62</v>
      </c>
    </row>
    <row r="10" customFormat="false" ht="23.85" hidden="false" customHeight="false" outlineLevel="0" collapsed="false">
      <c r="A10" s="17" t="s">
        <v>63</v>
      </c>
      <c r="B10" s="17" t="s">
        <v>64</v>
      </c>
    </row>
    <row r="11" customFormat="false" ht="23.85" hidden="false" customHeight="false" outlineLevel="0" collapsed="false">
      <c r="A11" s="17" t="s">
        <v>65</v>
      </c>
      <c r="B11" s="1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2026-03-25T17:30:08Z</dcterms:created>
  <dc:creator>openpyxl</dc:creator>
  <dc:description/>
  <dc:language>en-US</dc:language>
  <cp:lastModifiedBy/>
  <dcterms:modified xsi:type="dcterms:W3CDTF">2026-03-25T17:30:08Z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