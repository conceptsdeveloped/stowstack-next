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IT Marketing Spend" sheetId="1" state="visible" r:id="rId3"/>
    <sheet name="Industry Benchmarks" sheetId="2" state="visible" r:id="rId4"/>
    <sheet name="Cost Per Acquisition" sheetId="3" state="visible" r:id="rId5"/>
  </sheets>
  <definedNames>
    <definedName function="false" hidden="true" localSheetId="2" name="_xlnm._FilterDatabase" vbProcedure="false">'Cost Per Acquisition'!$A$1:$E$7</definedName>
    <definedName function="false" hidden="true" localSheetId="0" name="_xlnm._FilterDatabase" vbProcedure="false">'REIT Marketing Spend'!$A$1:$K$5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<sst xmlns="http://schemas.openxmlformats.org/spreadsheetml/2006/main" count="114" uniqueCount="96">
  <si>
    <t xml:space="preserve">REIT</t>
  </si>
  <si>
    <t xml:space="preserve">Annual Marketing Spend</t>
  </si>
  <si>
    <t xml:space="preserve">Facilities</t>
  </si>
  <si>
    <t xml:space="preserve">Avg/Facility/Year</t>
  </si>
  <si>
    <t xml:space="preserve">Avg/Facility/Quarter</t>
  </si>
  <si>
    <t xml:space="preserve">Q1 Avg</t>
  </si>
  <si>
    <t xml:space="preserve">Q2 Avg</t>
  </si>
  <si>
    <t xml:space="preserve">Q3 Avg</t>
  </si>
  <si>
    <t xml:space="preserve">Q4 Avg</t>
  </si>
  <si>
    <t xml:space="preserve">Strategy</t>
  </si>
  <si>
    <t xml:space="preserve">Source</t>
  </si>
  <si>
    <t xml:space="preserve">Extra Space</t>
  </si>
  <si>
    <t xml:space="preserve">$34,000,000</t>
  </si>
  <si>
    <t xml:space="preserve">Rising</t>
  </si>
  <si>
    <t xml:space="preserve">Always pay more</t>
  </si>
  <si>
    <t xml:space="preserve">StoragePug, ISS Q3 2025</t>
  </si>
  <si>
    <t xml:space="preserve">Public Storage</t>
  </si>
  <si>
    <t xml:space="preserve">~$100,000,000 est.</t>
  </si>
  <si>
    <t xml:space="preserve">~$30,303</t>
  </si>
  <si>
    <t xml:space="preserve">~$7,576</t>
  </si>
  <si>
    <t xml:space="preserve">HIGH</t>
  </si>
  <si>
    <t xml:space="preserve">Lower</t>
  </si>
  <si>
    <t xml:space="preserve">Front-load slow seasons</t>
  </si>
  <si>
    <t xml:space="preserve">StoragePug, 10-K</t>
  </si>
  <si>
    <t xml:space="preserve">CubeSmart</t>
  </si>
  <si>
    <t xml:space="preserve">~$50,000,000 est.</t>
  </si>
  <si>
    <t xml:space="preserve">~$33,333</t>
  </si>
  <si>
    <t xml:space="preserve">~$8,333</t>
  </si>
  <si>
    <t xml:space="preserve">$4,816</t>
  </si>
  <si>
    <t xml:space="preserve">$11,307</t>
  </si>
  <si>
    <t xml:space="preserve">~$12,000 est.</t>
  </si>
  <si>
    <t xml:space="preserve">~$6,000 est.</t>
  </si>
  <si>
    <t xml:space="preserve">Scale up busy season</t>
  </si>
  <si>
    <t xml:space="preserve">StoragePug</t>
  </si>
  <si>
    <t xml:space="preserve">NSA</t>
  </si>
  <si>
    <t xml:space="preserve">Not public</t>
  </si>
  <si>
    <t xml:space="preserve">Est. $6,000-10,000</t>
  </si>
  <si>
    <t xml:space="preserve">$1,500-2,500</t>
  </si>
  <si>
    <t xml:space="preserve">-</t>
  </si>
  <si>
    <t xml:space="preserve">Unknown</t>
  </si>
  <si>
    <t xml:space="preserve">Estimated</t>
  </si>
  <si>
    <t xml:space="preserve">Metric</t>
  </si>
  <si>
    <t xml:space="preserve">Value</t>
  </si>
  <si>
    <t xml:space="preserve">Source/Notes</t>
  </si>
  <si>
    <t xml:space="preserve">Sunbird Storage (Meta case study) - CPC</t>
  </si>
  <si>
    <t xml:space="preserve">$1.09</t>
  </si>
  <si>
    <t xml:space="preserve">Verified case study</t>
  </si>
  <si>
    <t xml:space="preserve">Sunbird Storage (Meta case study) - Daily Budget</t>
  </si>
  <si>
    <t xml:space="preserve">$1,200 for 60 days</t>
  </si>
  <si>
    <t xml:space="preserve">Sunbird Storage (Meta case study) - Rental Increase</t>
  </si>
  <si>
    <t xml:space="preserve">37-60%</t>
  </si>
  <si>
    <t xml:space="preserve">Marketing Budget Guideline - % of Revenue</t>
  </si>
  <si>
    <t xml:space="preserve">1-5%</t>
  </si>
  <si>
    <t xml:space="preserve">Industry standard</t>
  </si>
  <si>
    <t xml:space="preserve">Digital Marketing % of Total Marketing Budget</t>
  </si>
  <si>
    <t xml:space="preserve">70%</t>
  </si>
  <si>
    <t xml:space="preserve">Self-Storage Software Market (2024)</t>
  </si>
  <si>
    <t xml:space="preserve">$2.5B</t>
  </si>
  <si>
    <t xml:space="preserve">Market research</t>
  </si>
  <si>
    <t xml:space="preserve">Self-Storage Software Market CAGR</t>
  </si>
  <si>
    <t xml:space="preserve">12.7%</t>
  </si>
  <si>
    <t xml:space="preserve">StorageReach Case Study - Rating Improvement</t>
  </si>
  <si>
    <t xml:space="preserve">3.9★→4.4★ in 90 days</t>
  </si>
  <si>
    <t xml:space="preserve">StorageReach Case Study - GBP Impact</t>
  </si>
  <si>
    <t xml:space="preserve">Calls surged</t>
  </si>
  <si>
    <t xml:space="preserve">Channel</t>
  </si>
  <si>
    <t xml:space="preserve">Cost Per Move-In (Low)</t>
  </si>
  <si>
    <t xml:space="preserve">Cost Per Move-In (Avg)</t>
  </si>
  <si>
    <t xml:space="preserve">Cost Per Move-In (High)</t>
  </si>
  <si>
    <t xml:space="preserve">Notes</t>
  </si>
  <si>
    <t xml:space="preserve">SpareFoot (2x bid, $130 unit)</t>
  </si>
  <si>
    <t xml:space="preserve">$130</t>
  </si>
  <si>
    <t xml:space="preserve">$195</t>
  </si>
  <si>
    <t xml:space="preserve">$390</t>
  </si>
  <si>
    <t xml:space="preserve">1x-3x monthly rent</t>
  </si>
  <si>
    <t xml:space="preserve">Google PPC (secondary market)</t>
  </si>
  <si>
    <t xml:space="preserve">$80</t>
  </si>
  <si>
    <t xml:space="preserve">$120</t>
  </si>
  <si>
    <t xml:space="preserve">$200</t>
  </si>
  <si>
    <t xml:space="preserve">Based on $8-15 CPC, 5-10% conversion</t>
  </si>
  <si>
    <t xml:space="preserve">Google PPC (top metro)</t>
  </si>
  <si>
    <t xml:space="preserve">$350</t>
  </si>
  <si>
    <t xml:space="preserve">$600+</t>
  </si>
  <si>
    <t xml:space="preserve">Based on $25-40 CPC</t>
  </si>
  <si>
    <t xml:space="preserve">Meta/Facebook (estimated)</t>
  </si>
  <si>
    <t xml:space="preserve">$30</t>
  </si>
  <si>
    <t xml:space="preserve">$60</t>
  </si>
  <si>
    <t xml:space="preserve">$100</t>
  </si>
  <si>
    <t xml:space="preserve">Based on $1-4 CPC, brand lift effect</t>
  </si>
  <si>
    <t xml:space="preserve">StorageAds Target</t>
  </si>
  <si>
    <t xml:space="preserve">$50</t>
  </si>
  <si>
    <t xml:space="preserve">Full-funnel optimization</t>
  </si>
  <si>
    <t xml:space="preserve">Organic SEO</t>
  </si>
  <si>
    <t xml:space="preserve">$0 (direct)</t>
  </si>
  <si>
    <t xml:space="preserve">$0</t>
  </si>
  <si>
    <t xml:space="preserve">But $300-900/mo ongoing investment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</si>
</sst>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0C0B"/>
        <bgColor rgb="FF0000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D0C0B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58B3F"/>
      <rgbColor rgb="FF003366"/>
      <rgbColor rgb="FF339966"/>
      <rgbColor rgb="FF0D0C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B3F"/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2" t="n">
        <v>3800</v>
      </c>
      <c r="D2" s="2" t="n">
        <f aca="false">B2/C2</f>
        <v>8947.36842105263</v>
      </c>
      <c r="E2" s="2" t="n">
        <f aca="false">D2/4</f>
        <v>2236.84210526316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14</v>
      </c>
      <c r="K2" s="2" t="s">
        <v>15</v>
      </c>
    </row>
    <row r="3" customFormat="false" ht="23.85" hidden="false" customHeight="false" outlineLevel="0" collapsed="false">
      <c r="A3" s="3" t="s">
        <v>16</v>
      </c>
      <c r="B3" s="3" t="s">
        <v>17</v>
      </c>
      <c r="C3" s="3" t="n">
        <v>3300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21</v>
      </c>
      <c r="I3" s="3" t="s">
        <v>20</v>
      </c>
      <c r="J3" s="3" t="s">
        <v>22</v>
      </c>
      <c r="K3" s="3" t="s">
        <v>23</v>
      </c>
    </row>
    <row r="4" customFormat="false" ht="23.85" hidden="false" customHeight="false" outlineLevel="0" collapsed="false">
      <c r="A4" s="2" t="s">
        <v>24</v>
      </c>
      <c r="B4" s="2" t="s">
        <v>25</v>
      </c>
      <c r="C4" s="2" t="n">
        <v>1500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n">
        <v>1100</v>
      </c>
      <c r="D5" s="3" t="s">
        <v>36</v>
      </c>
      <c r="E5" s="3" t="s">
        <v>37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39</v>
      </c>
      <c r="K5" s="3" t="s">
        <v>40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B3F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35"/>
  </cols>
  <sheetData>
    <row r="1" customFormat="false" ht="15" hidden="false" customHeight="false" outlineLevel="0" collapsed="false">
      <c r="A1" s="4" t="s">
        <v>41</v>
      </c>
      <c r="B1" s="4" t="s">
        <v>42</v>
      </c>
      <c r="C1" s="4" t="s">
        <v>43</v>
      </c>
    </row>
    <row r="2" customFormat="false" ht="15" hidden="false" customHeight="false" outlineLevel="0" collapsed="false">
      <c r="A2" s="2" t="s">
        <v>44</v>
      </c>
      <c r="B2" s="2" t="s">
        <v>45</v>
      </c>
      <c r="C2" s="2" t="s">
        <v>46</v>
      </c>
    </row>
    <row r="3" customFormat="false" ht="23.85" hidden="false" customHeight="false" outlineLevel="0" collapsed="false">
      <c r="A3" s="3" t="s">
        <v>47</v>
      </c>
      <c r="B3" s="3" t="s">
        <v>48</v>
      </c>
      <c r="C3" s="3" t="s">
        <v>46</v>
      </c>
    </row>
    <row r="4" customFormat="false" ht="23.85" hidden="false" customHeight="false" outlineLevel="0" collapsed="false">
      <c r="A4" s="2" t="s">
        <v>49</v>
      </c>
      <c r="B4" s="2" t="s">
        <v>50</v>
      </c>
      <c r="C4" s="2" t="s">
        <v>46</v>
      </c>
    </row>
    <row r="5" customFormat="false" ht="15" hidden="false" customHeight="false" outlineLevel="0" collapsed="false">
      <c r="A5" s="3" t="s">
        <v>51</v>
      </c>
      <c r="B5" s="3" t="s">
        <v>52</v>
      </c>
      <c r="C5" s="3" t="s">
        <v>53</v>
      </c>
    </row>
    <row r="6" customFormat="false" ht="15" hidden="false" customHeight="false" outlineLevel="0" collapsed="false">
      <c r="A6" s="2" t="s">
        <v>54</v>
      </c>
      <c r="B6" s="2" t="s">
        <v>55</v>
      </c>
      <c r="C6" s="2" t="s">
        <v>53</v>
      </c>
    </row>
    <row r="7" customFormat="false" ht="15" hidden="false" customHeight="false" outlineLevel="0" collapsed="false">
      <c r="A7" s="3" t="s">
        <v>56</v>
      </c>
      <c r="B7" s="3" t="s">
        <v>57</v>
      </c>
      <c r="C7" s="3" t="s">
        <v>58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58</v>
      </c>
    </row>
    <row r="9" customFormat="false" ht="23.85" hidden="false" customHeight="false" outlineLevel="0" collapsed="false">
      <c r="A9" s="3" t="s">
        <v>61</v>
      </c>
      <c r="B9" s="3" t="s">
        <v>62</v>
      </c>
      <c r="C9" s="3" t="s">
        <v>46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B3F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35"/>
  </cols>
  <sheetData>
    <row r="1" customFormat="false" ht="26.85" hidden="false" customHeight="false" outlineLevel="0" collapsed="false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customFormat="false" ht="15" hidden="false" customHeight="false" outlineLevel="0" collapsed="false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</row>
    <row r="3" customFormat="false" ht="15" hidden="false" customHeight="false" outlineLevel="0" collapsed="false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</row>
    <row r="4" customFormat="false" ht="15" hidden="false" customHeight="false" outlineLevel="0" collapsed="false">
      <c r="A4" s="2" t="s">
        <v>80</v>
      </c>
      <c r="B4" s="2" t="s">
        <v>78</v>
      </c>
      <c r="C4" s="2" t="s">
        <v>81</v>
      </c>
      <c r="D4" s="2" t="s">
        <v>82</v>
      </c>
      <c r="E4" s="2" t="s">
        <v>83</v>
      </c>
    </row>
    <row r="5" customFormat="false" ht="15" hidden="false" customHeight="false" outlineLevel="0" collapsed="false">
      <c r="A5" s="3" t="s">
        <v>84</v>
      </c>
      <c r="B5" s="3" t="s">
        <v>85</v>
      </c>
      <c r="C5" s="3" t="s">
        <v>86</v>
      </c>
      <c r="D5" s="3" t="s">
        <v>87</v>
      </c>
      <c r="E5" s="3" t="s">
        <v>88</v>
      </c>
    </row>
    <row r="6" customFormat="false" ht="15" hidden="false" customHeight="false" outlineLevel="0" collapsed="false">
      <c r="A6" s="2" t="s">
        <v>89</v>
      </c>
      <c r="B6" s="2" t="s">
        <v>85</v>
      </c>
      <c r="C6" s="2" t="s">
        <v>90</v>
      </c>
      <c r="D6" s="2" t="s">
        <v>76</v>
      </c>
      <c r="E6" s="2" t="s">
        <v>91</v>
      </c>
    </row>
    <row r="7" customFormat="false" ht="15" hidden="false" customHeight="false" outlineLevel="0" collapsed="false">
      <c r="A7" s="3" t="s">
        <v>92</v>
      </c>
      <c r="B7" s="3" t="s">
        <v>93</v>
      </c>
      <c r="C7" s="3" t="s">
        <v>94</v>
      </c>
      <c r="D7" s="3" t="s">
        <v>94</v>
      </c>
      <c r="E7" s="3" t="s">
        <v>95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2026-03-25T17:51:06Z</dcterms:created>
  <dc:creator>openpyxl</dc:creator>
  <dc:description/>
  <dc:language>en-US</dc:language>
  <cp:lastModifiedBy/>
  <dcterms:modified xsi:type="dcterms:W3CDTF">2026-03-25T17:51:06Z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